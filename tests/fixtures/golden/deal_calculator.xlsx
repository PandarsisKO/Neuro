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calculator (fixture)</t>
        </is>
      </c>
    </row>
    <row r="2">
      <c r="A2" t="inlineStr">
        <is>
          <t>Purchase price</t>
        </is>
      </c>
      <c r="B2" t="n">
        <v>1000000</v>
      </c>
    </row>
    <row r="3">
      <c r="A3" t="inlineStr">
        <is>
          <t>Down payment %</t>
        </is>
      </c>
      <c r="B3" t="n">
        <v>0.1</v>
      </c>
    </row>
    <row r="4">
      <c r="A4" t="inlineStr">
        <is>
          <t>Seller note %</t>
        </is>
      </c>
      <c r="B4" t="n">
        <v>0.1</v>
      </c>
    </row>
    <row r="5">
      <c r="A5" t="inlineStr">
        <is>
          <t>Interest rate</t>
        </is>
      </c>
      <c r="B5" t="n">
        <v>0.105</v>
      </c>
    </row>
    <row r="6">
      <c r="A6" t="inlineStr">
        <is>
          <t>Term (years)</t>
        </is>
      </c>
      <c r="B6" t="n">
        <v>10</v>
      </c>
    </row>
    <row r="7">
      <c r="A7" t="inlineStr">
        <is>
          <t>Annual SDE</t>
        </is>
      </c>
      <c r="B7" t="n">
        <v>320000</v>
      </c>
    </row>
    <row r="8">
      <c r="A8" t="inlineStr">
        <is>
          <t>Buyer salary</t>
        </is>
      </c>
      <c r="B8" t="n">
        <v>90000</v>
      </c>
    </row>
    <row r="10">
      <c r="A10" t="inlineStr">
        <is>
          <t>Down payment</t>
        </is>
      </c>
      <c r="B10">
        <f>B2*B3</f>
        <v/>
      </c>
    </row>
    <row r="11">
      <c r="A11" t="inlineStr">
        <is>
          <t>Seller note</t>
        </is>
      </c>
      <c r="B11">
        <f>B2*B4</f>
        <v/>
      </c>
    </row>
    <row r="12">
      <c r="A12" t="inlineStr">
        <is>
          <t>SBA loan amount</t>
        </is>
      </c>
      <c r="B12">
        <f>B2-B10-B11</f>
        <v/>
      </c>
    </row>
    <row r="13">
      <c r="A13" t="inlineStr">
        <is>
          <t>Monthly payment</t>
        </is>
      </c>
      <c r="B13">
        <f>-PMT(B5/12,B6*12,B12)</f>
        <v/>
      </c>
    </row>
    <row r="14">
      <c r="A14" t="inlineStr">
        <is>
          <t>Annual debt service</t>
        </is>
      </c>
      <c r="B14">
        <f>B13*12</f>
        <v/>
      </c>
    </row>
    <row r="15">
      <c r="A15" t="inlineStr">
        <is>
          <t>Cash flow after salary</t>
        </is>
      </c>
      <c r="B15">
        <f>B7-B8</f>
        <v/>
      </c>
    </row>
    <row r="16">
      <c r="A16" t="inlineStr">
        <is>
          <t>DSCR</t>
        </is>
      </c>
      <c r="B16">
        <f>B15/B14</f>
        <v/>
      </c>
    </row>
    <row r="17">
      <c r="A17" t="inlineStr">
        <is>
          <t>Cash left after debt</t>
        </is>
      </c>
      <c r="B17">
        <f>B15-B14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2026-09-06T21:32:55Z</dcterms:created>
  <dcterms:modified xmlns:dcterms="http://purl.org/dc/terms/" xmlns:xsi="http://www.w3.org/2001/XMLSchema-instance" xsi:type="dcterms:W3CDTF">2026-09-06T21:32:55Z</dcterms:modified>
</cp:coreProperties>
</file>